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slicers/slicer2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Rodri\Downloads\"/>
    </mc:Choice>
  </mc:AlternateContent>
  <xr:revisionPtr revIDLastSave="0" documentId="13_ncr:1_{6D0E8F29-0255-410A-92D8-8424F3088C93}" xr6:coauthVersionLast="47" xr6:coauthVersionMax="47" xr10:uidLastSave="{00000000-0000-0000-0000-000000000000}"/>
  <bookViews>
    <workbookView xWindow="-108" yWindow="-108" windowWidth="23256" windowHeight="12456" firstSheet="1" activeTab="4" xr2:uid="{28DD5B76-0634-4F87-BE60-8BFA7EF2E23B}"/>
  </bookViews>
  <sheets>
    <sheet name="A̳ssets" sheetId="1" state="hidden" r:id="rId1"/>
    <sheet name="DB" sheetId="5" r:id="rId2"/>
    <sheet name="tb_sales" sheetId="2" r:id="rId3"/>
    <sheet name="C̳álculos" sheetId="3" state="hidden" r:id="rId4"/>
    <sheet name="D̳ashboard" sheetId="4" r:id="rId5"/>
  </sheets>
  <definedNames>
    <definedName name="SegmentaçãodeDados_Auto_Renewal">#N/A</definedName>
    <definedName name="SegmentaçãodeDados_Plan">#N/A</definedName>
    <definedName name="SegmentaçãodeDados_Subscription_Type">#N/A</definedName>
  </definedNames>
  <calcPr calcId="191029"/>
  <pivotCaches>
    <pivotCache cacheId="5" r:id="rId6"/>
  </pivotCaches>
  <extLst>
    <ext xmlns:x14="http://schemas.microsoft.com/office/spreadsheetml/2009/9/main" uri="{BBE1A952-AA13-448e-AADC-164F8A28A991}">
      <x14:slicerCaches>
        <x14:slicerCache r:id="rId7"/>
        <x14:slicerCache r:id="rId8"/>
        <x14:slicerCache r:id="rId9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3" l="1"/>
  <c r="G2" i="3"/>
  <c r="E2" i="3"/>
  <c r="C2" i="3"/>
</calcChain>
</file>

<file path=xl/sharedStrings.xml><?xml version="1.0" encoding="utf-8"?>
<sst xmlns="http://schemas.openxmlformats.org/spreadsheetml/2006/main" count="2014" uniqueCount="322">
  <si>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</si>
  <si>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</si>
  <si>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</si>
  <si>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</si>
  <si>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</si>
  <si>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</si>
  <si>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</si>
  <si>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</si>
  <si>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</si>
  <si>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</si>
  <si>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</si>
  <si>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</si>
  <si>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</si>
  <si>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</si>
  <si>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</si>
  <si>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</si>
  <si>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</si>
  <si>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</si>
  <si>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</si>
  <si>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</si>
  <si>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</si>
  <si>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</si>
  <si>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</si>
  <si>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</si>
  <si>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</si>
  <si>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</si>
  <si>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</si>
  <si>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</si>
  <si>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</si>
  <si>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</si>
  <si>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</si>
  <si>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</si>
  <si>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</si>
  <si>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</si>
  <si>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</si>
  <si>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</si>
  <si>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</si>
  <si>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</si>
  <si>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</si>
  <si>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</si>
  <si>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</si>
  <si>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</si>
  <si>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</si>
  <si>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</si>
  <si>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</si>
  <si>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</si>
  <si>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</si>
  <si>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</si>
  <si>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</si>
  <si>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</si>
  <si>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</si>
  <si>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</si>
  <si>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</si>
  <si>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</si>
  <si>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</si>
  <si>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</si>
  <si>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</si>
  <si>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</si>
  <si>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</si>
  <si>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</si>
  <si>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</si>
  <si>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</si>
  <si>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</si>
  <si>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</si>
  <si>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</si>
  <si>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</si>
  <si>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</si>
  <si>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</si>
  <si>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</si>
  <si>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</si>
  <si>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</si>
  <si>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</si>
  <si>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</si>
  <si>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</si>
  <si>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</si>
  <si>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</si>
  <si>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</si>
  <si>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</si>
  <si>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</si>
  <si>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</si>
  <si>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</si>
  <si>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</si>
  <si>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</si>
  <si>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</si>
  <si>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</si>
  <si>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</si>
  <si>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</si>
  <si>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</si>
  <si>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</si>
  <si>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</si>
  <si>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</si>
  <si>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</si>
  <si>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</si>
  <si>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</si>
  <si>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</si>
  <si>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</si>
  <si>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</si>
  <si>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</si>
  <si>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</si>
  <si>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</si>
  <si>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</si>
  <si>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</si>
  <si>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</si>
  <si>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</si>
  <si>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</si>
  <si>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</si>
  <si>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</si>
  <si>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</si>
  <si>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</si>
  <si>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</si>
  <si>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</si>
  <si>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</si>
  <si>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</si>
  <si>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</si>
  <si>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</si>
  <si>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</si>
  <si>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</si>
  <si>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</si>
  <si>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</si>
  <si>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</si>
  <si>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</si>
  <si>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</si>
  <si>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</si>
  <si>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</si>
  <si>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</si>
  <si>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</si>
  <si>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</si>
  <si>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</si>
  <si>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</si>
  <si>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</si>
  <si>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</si>
  <si>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</si>
  <si>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</si>
  <si>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</si>
  <si>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</si>
  <si>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</si>
  <si>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</si>
  <si>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</si>
  <si>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</si>
  <si>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</si>
  <si>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</si>
  <si>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</si>
  <si>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</si>
  <si>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</si>
  <si>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</si>
  <si>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</si>
  <si>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</si>
  <si>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</si>
  <si>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</si>
  <si>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</si>
  <si>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</si>
  <si>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</si>
  <si>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</si>
  <si>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</si>
  <si>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</si>
  <si>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</si>
  <si>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</si>
  <si>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</si>
  <si>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</si>
  <si>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</si>
  <si>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</si>
  <si>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</si>
  <si>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</si>
  <si>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</si>
  <si>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</si>
  <si>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</si>
  <si>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</si>
  <si>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</si>
  <si>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</si>
  <si>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</si>
  <si>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</si>
  <si>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</si>
  <si>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</si>
  <si>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</si>
  <si>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</si>
  <si>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</si>
  <si>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</si>
  <si>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</si>
  <si>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</si>
  <si>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</si>
  <si>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</si>
  <si>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</si>
  <si>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</si>
  <si>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</si>
  <si>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</si>
  <si>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</si>
  <si>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</si>
  <si>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</si>
  <si>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</si>
  <si>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</si>
  <si>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</si>
  <si>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</si>
  <si>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</si>
  <si>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</si>
  <si>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</si>
  <si>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</si>
  <si>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</si>
  <si>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</si>
  <si>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</si>
  <si>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</si>
  <si>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</si>
  <si>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</si>
  <si>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</si>
  <si>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</si>
  <si>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</si>
  <si>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</si>
  <si>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</si>
  <si>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</si>
  <si>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</si>
  <si>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</si>
  <si>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</si>
  <si>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</si>
  <si>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</si>
  <si>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</si>
  <si>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</si>
  <si>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</si>
  <si>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</si>
  <si>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</si>
  <si>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</si>
  <si>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</si>
  <si>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</si>
  <si>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</si>
  <si>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</si>
  <si>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</si>
  <si>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</si>
  <si>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</si>
  <si>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</si>
  <si>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</si>
  <si>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</si>
  <si>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</si>
  <si>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</si>
  <si>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</si>
  <si>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</si>
  <si>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</si>
  <si>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</si>
  <si>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</si>
  <si>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</si>
  <si>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</si>
  <si>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</si>
  <si>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</si>
  <si>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</si>
  <si>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</si>
  <si>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</si>
  <si>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</si>
  <si>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</si>
  <si>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</si>
  <si>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</si>
  <si>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</si>
  <si>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</si>
  <si>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</si>
  <si>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</si>
  <si>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</si>
  <si>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</si>
  <si>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</si>
  <si>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</si>
  <si>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</si>
  <si>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</si>
  <si>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</si>
  <si>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</si>
  <si>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</si>
  <si>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</si>
  <si>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</si>
  <si>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</si>
  <si>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</si>
  <si>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</si>
  <si>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</si>
  <si>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</si>
  <si>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</si>
  <si>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</si>
  <si>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</si>
  <si>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</si>
  <si>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</si>
  <si>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</si>
  <si>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</si>
  <si>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</si>
  <si>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</si>
  <si>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</si>
  <si>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</si>
  <si>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</si>
  <si>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</si>
  <si>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</si>
  <si>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</si>
  <si>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</si>
  <si>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</si>
  <si>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</si>
  <si>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</si>
  <si>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</si>
  <si>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</si>
  <si>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</si>
  <si>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</si>
  <si>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</si>
  <si>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</si>
  <si>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</si>
  <si>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</si>
  <si>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</si>
  <si>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</si>
  <si>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</si>
  <si>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</si>
  <si>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</si>
  <si>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</si>
  <si>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</si>
  <si>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</si>
  <si>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</si>
  <si>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</si>
  <si>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</si>
  <si>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</si>
  <si>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</si>
  <si>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</si>
  <si>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</si>
  <si>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</si>
  <si>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</si>
  <si>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</si>
  <si>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</si>
  <si>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💰 Receita Total</t>
  </si>
  <si>
    <t>👥 Total de Clientes</t>
  </si>
  <si>
    <t>🎟 Total de Cupons</t>
  </si>
  <si>
    <t>💳 Receita Média</t>
  </si>
  <si>
    <t>Rótulos de Linha</t>
  </si>
  <si>
    <t>Total Geral</t>
  </si>
  <si>
    <t>Soma de Total Value</t>
  </si>
  <si>
    <t>Contagem de Subscriber ID</t>
  </si>
  <si>
    <t xml:space="preserve">    DASHBOARD DE VENDAS XBOX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</si>
</sst>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9" formatCode="&quot;R$&quot;\ #,##0.00"/>
  </numFmts>
  <fonts count="9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16"/>
      <color theme="1"/>
      <name val="Aptos Narrow"/>
      <family val="2"/>
      <scheme val="minor"/>
    </font>
    <font>
      <sz val="12"/>
      <color theme="1"/>
      <name val="Arial Unicode MS"/>
    </font>
    <font>
      <b/>
      <sz val="16"/>
      <color theme="1"/>
      <name val="Aptos Narrow"/>
      <family val="2"/>
      <scheme val="minor"/>
    </font>
    <font>
      <sz val="22"/>
      <color theme="1"/>
      <name val="Abadi"/>
      <family val="2"/>
    </font>
  </fonts>
  <fills count="8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</cellStyleXfs>
  <cellXfs count="3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2" xfId="0" applyBorder="1"/>
    <xf numFmtId="169" fontId="0" fillId="0" borderId="2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applyNumberFormat="1"/>
    <xf numFmtId="169" fontId="0" fillId="0" borderId="3" xfId="0" applyNumberFormat="1" applyBorder="1"/>
    <xf numFmtId="0" fontId="0" fillId="0" borderId="3" xfId="0" applyBorder="1"/>
    <xf numFmtId="0" fontId="5" fillId="0" borderId="4" xfId="0" applyFont="1" applyBorder="1"/>
    <xf numFmtId="169" fontId="0" fillId="0" borderId="4" xfId="0" applyNumberFormat="1" applyBorder="1"/>
    <xf numFmtId="0" fontId="0" fillId="0" borderId="4" xfId="0" applyBorder="1"/>
    <xf numFmtId="0" fontId="7" fillId="0" borderId="0" xfId="0" applyFont="1" applyBorder="1" applyAlignment="1">
      <alignment horizontal="center" vertical="center"/>
    </xf>
    <xf numFmtId="169" fontId="4" fillId="0" borderId="0" xfId="0" applyNumberFormat="1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169" fontId="0" fillId="0" borderId="0" xfId="0" applyNumberFormat="1" applyBorder="1" applyAlignment="1">
      <alignment horizontal="center" vertical="center"/>
    </xf>
    <xf numFmtId="169" fontId="6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169" fontId="5" fillId="0" borderId="0" xfId="0" applyNumberFormat="1" applyFont="1" applyBorder="1" applyAlignment="1">
      <alignment horizontal="center" vertical="center"/>
    </xf>
    <xf numFmtId="0" fontId="8" fillId="3" borderId="2" xfId="0" applyFont="1" applyFill="1" applyBorder="1" applyAlignment="1">
      <alignment horizontal="left" vertical="center"/>
    </xf>
  </cellXfs>
  <cellStyles count="3">
    <cellStyle name="Moeda" xfId="2" builtinId="4"/>
    <cellStyle name="Normal" xfId="0" builtinId="0"/>
    <cellStyle name="Título 1" xfId="1" builtinId="16"/>
  </cellStyles>
  <dxfs count="14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E8E6E9"/>
      <color rgb="FF9BC848"/>
      <color rgb="FF22C55E"/>
      <color rgb="FF5BF6A8"/>
      <color rgb="FF000000"/>
      <color rgb="FFE0E0E0"/>
      <color rgb="FFEDEDED"/>
      <color rgb="FFF7F8FC"/>
      <color rgb="FF2AE6B1"/>
      <color rgb="FFE7001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2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3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[Base_dados.xlsx]DB!Tabela dinâmica1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DB!$B$3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DB!$A$4:$A$7</c:f>
              <c:strCache>
                <c:ptCount val="3"/>
                <c:pt idx="0">
                  <c:v>Core</c:v>
                </c:pt>
                <c:pt idx="1">
                  <c:v>Standard</c:v>
                </c:pt>
                <c:pt idx="2">
                  <c:v>Ultimate</c:v>
                </c:pt>
              </c:strCache>
            </c:strRef>
          </c:cat>
          <c:val>
            <c:numRef>
              <c:f>DB!$B$4:$B$7</c:f>
              <c:numCache>
                <c:formatCode>_("R$"* #,##0.00_);_("R$"* \(#,##0.00\);_("R$"* "-"??_);_(@_)</c:formatCode>
                <c:ptCount val="3"/>
                <c:pt idx="0">
                  <c:v>444</c:v>
                </c:pt>
                <c:pt idx="1">
                  <c:v>1801</c:v>
                </c:pt>
                <c:pt idx="2">
                  <c:v>5388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6D9-426E-83DE-00DD39616FE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6511264"/>
        <c:axId val="736511744"/>
      </c:barChart>
      <c:catAx>
        <c:axId val="7365112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11744"/>
        <c:crosses val="autoZero"/>
        <c:auto val="1"/>
        <c:lblAlgn val="ctr"/>
        <c:lblOffset val="100"/>
        <c:noMultiLvlLbl val="0"/>
      </c:catAx>
      <c:valAx>
        <c:axId val="7365117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112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[Base_dados.xlsx]DB!Tabela dinâmica3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DB!$B$14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DB!$A$15:$A$18</c:f>
              <c:strCache>
                <c:ptCount val="3"/>
                <c:pt idx="0">
                  <c:v>Annual</c:v>
                </c:pt>
                <c:pt idx="1">
                  <c:v>Monthly</c:v>
                </c:pt>
                <c:pt idx="2">
                  <c:v>Quarterly</c:v>
                </c:pt>
              </c:strCache>
            </c:strRef>
          </c:cat>
          <c:val>
            <c:numRef>
              <c:f>DB!$B$15:$B$18</c:f>
              <c:numCache>
                <c:formatCode>_("R$"* #,##0.00_);_("R$"* \(#,##0.00\);_("R$"* "-"??_);_(@_)</c:formatCode>
                <c:ptCount val="3"/>
                <c:pt idx="0">
                  <c:v>1754</c:v>
                </c:pt>
                <c:pt idx="1">
                  <c:v>3571</c:v>
                </c:pt>
                <c:pt idx="2">
                  <c:v>2308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2A-4473-AECD-3933081CD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36553504"/>
        <c:axId val="736554944"/>
      </c:barChart>
      <c:catAx>
        <c:axId val="7365535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54944"/>
        <c:crosses val="autoZero"/>
        <c:auto val="1"/>
        <c:lblAlgn val="ctr"/>
        <c:lblOffset val="100"/>
        <c:noMultiLvlLbl val="0"/>
      </c:catAx>
      <c:valAx>
        <c:axId val="7365549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R$&quot;* #,##0.00_);_(&quot;R$&quot;* \(#,##0.00\);_(&quot;R$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36553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[Base_dados.xlsx]DB!Tabela dinâmica2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DB!$B$9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dPt>
          <c:cat>
            <c:strRef>
              <c:f>DB!$A$10:$A$12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DB!$B$10:$B$12</c:f>
              <c:numCache>
                <c:formatCode>General</c:formatCode>
                <c:ptCount val="2"/>
                <c:pt idx="0">
                  <c:v>147</c:v>
                </c:pt>
                <c:pt idx="1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D1-4599-9ABE-19519761E2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12.emf"/><Relationship Id="rId7" Type="http://schemas.openxmlformats.org/officeDocument/2006/relationships/chart" Target="../charts/chart1.xml"/><Relationship Id="rId2" Type="http://schemas.openxmlformats.org/officeDocument/2006/relationships/image" Target="../media/image11.png"/><Relationship Id="rId1" Type="http://schemas.openxmlformats.org/officeDocument/2006/relationships/image" Target="../media/image1.png"/><Relationship Id="rId6" Type="http://schemas.openxmlformats.org/officeDocument/2006/relationships/image" Target="../media/image15.emf"/><Relationship Id="rId5" Type="http://schemas.openxmlformats.org/officeDocument/2006/relationships/image" Target="../media/image14.emf"/><Relationship Id="rId4" Type="http://schemas.openxmlformats.org/officeDocument/2006/relationships/image" Target="../media/image13.emf"/><Relationship Id="rId9" Type="http://schemas.openxmlformats.org/officeDocument/2006/relationships/chart" Target="../charts/chart3.xml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18.emf"/><Relationship Id="rId2" Type="http://schemas.openxmlformats.org/officeDocument/2006/relationships/image" Target="../media/image17.emf"/><Relationship Id="rId1" Type="http://schemas.openxmlformats.org/officeDocument/2006/relationships/image" Target="../media/image16.emf"/><Relationship Id="rId4" Type="http://schemas.openxmlformats.org/officeDocument/2006/relationships/image" Target="../media/image19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38100</xdr:colOff>
      <xdr:row>2</xdr:row>
      <xdr:rowOff>60961</xdr:rowOff>
    </xdr:from>
    <xdr:to>
      <xdr:col>5</xdr:col>
      <xdr:colOff>441960</xdr:colOff>
      <xdr:row>9</xdr:row>
      <xdr:rowOff>53340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Plan">
              <a:extLst>
                <a:ext uri="{FF2B5EF4-FFF2-40B4-BE49-F238E27FC236}">
                  <a16:creationId xmlns:a16="http://schemas.microsoft.com/office/drawing/2014/main" id="{BF65E868-6027-A3A6-43C0-F109E364B9E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964180" y="426721"/>
              <a:ext cx="1623060" cy="127253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9</xdr:col>
      <xdr:colOff>83820</xdr:colOff>
      <xdr:row>2</xdr:row>
      <xdr:rowOff>91440</xdr:rowOff>
    </xdr:from>
    <xdr:to>
      <xdr:col>12</xdr:col>
      <xdr:colOff>327660</xdr:colOff>
      <xdr:row>8</xdr:row>
      <xdr:rowOff>68579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Auto Renewal">
              <a:extLst>
                <a:ext uri="{FF2B5EF4-FFF2-40B4-BE49-F238E27FC236}">
                  <a16:creationId xmlns:a16="http://schemas.microsoft.com/office/drawing/2014/main" id="{2A40DB60-14FD-B873-FAB6-A43BB1C732D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667500" y="457200"/>
              <a:ext cx="2072640" cy="107441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586740</xdr:colOff>
      <xdr:row>2</xdr:row>
      <xdr:rowOff>76201</xdr:rowOff>
    </xdr:from>
    <xdr:to>
      <xdr:col>8</xdr:col>
      <xdr:colOff>586740</xdr:colOff>
      <xdr:row>9</xdr:row>
      <xdr:rowOff>7621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9386E736-C214-6A72-1EA7-05839549726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732020" y="441961"/>
              <a:ext cx="1828800" cy="12115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2</xdr:row>
      <xdr:rowOff>123825</xdr:rowOff>
    </xdr:from>
    <xdr:to>
      <xdr:col>2</xdr:col>
      <xdr:colOff>542925</xdr:colOff>
      <xdr:row>7</xdr:row>
      <xdr:rowOff>28575</xdr:rowOff>
    </xdr:to>
    <xdr:sp macro="" textlink="">
      <xdr:nvSpPr>
        <xdr:cNvPr id="9" name="Retângulo: Cantos Arredondados 8">
          <a:extLst>
            <a:ext uri="{FF2B5EF4-FFF2-40B4-BE49-F238E27FC236}">
              <a16:creationId xmlns:a16="http://schemas.microsoft.com/office/drawing/2014/main" id="{EE913D4A-9279-44E6-7847-B04280ECCCB2}"/>
            </a:ext>
          </a:extLst>
        </xdr:cNvPr>
        <xdr:cNvSpPr/>
      </xdr:nvSpPr>
      <xdr:spPr>
        <a:xfrm>
          <a:off x="104775" y="895350"/>
          <a:ext cx="2057400" cy="809625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 editAs="oneCell">
    <xdr:from>
      <xdr:col>8</xdr:col>
      <xdr:colOff>171449</xdr:colOff>
      <xdr:row>0</xdr:row>
      <xdr:rowOff>104775</xdr:rowOff>
    </xdr:from>
    <xdr:to>
      <xdr:col>11</xdr:col>
      <xdr:colOff>104774</xdr:colOff>
      <xdr:row>1</xdr:row>
      <xdr:rowOff>476250</xdr:rowOff>
    </xdr:to>
    <xdr:pic>
      <xdr:nvPicPr>
        <xdr:cNvPr id="10" name="Imagem 9">
          <a:extLst>
            <a:ext uri="{FF2B5EF4-FFF2-40B4-BE49-F238E27FC236}">
              <a16:creationId xmlns:a16="http://schemas.microsoft.com/office/drawing/2014/main" id="{BE5EB102-AD28-487A-AC57-E7DF2565F2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48299" y="104775"/>
          <a:ext cx="1762125" cy="552450"/>
        </a:xfrm>
        <a:prstGeom prst="rect">
          <a:avLst/>
        </a:prstGeom>
      </xdr:spPr>
    </xdr:pic>
    <xdr:clientData/>
  </xdr:twoCellAnchor>
  <xdr:twoCellAnchor editAs="oneCell">
    <xdr:from>
      <xdr:col>11</xdr:col>
      <xdr:colOff>66675</xdr:colOff>
      <xdr:row>0</xdr:row>
      <xdr:rowOff>0</xdr:rowOff>
    </xdr:from>
    <xdr:to>
      <xdr:col>16</xdr:col>
      <xdr:colOff>66675</xdr:colOff>
      <xdr:row>2</xdr:row>
      <xdr:rowOff>57151</xdr:rowOff>
    </xdr:to>
    <xdr:pic>
      <xdr:nvPicPr>
        <xdr:cNvPr id="11" name="Imagem 10">
          <a:extLst>
            <a:ext uri="{FF2B5EF4-FFF2-40B4-BE49-F238E27FC236}">
              <a16:creationId xmlns:a16="http://schemas.microsoft.com/office/drawing/2014/main" id="{9B05434C-076B-4362-AC58-ABCA90C24C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72325" y="0"/>
          <a:ext cx="2886075" cy="82867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200025</xdr:colOff>
          <xdr:row>3</xdr:row>
          <xdr:rowOff>95250</xdr:rowOff>
        </xdr:from>
        <xdr:to>
          <xdr:col>2</xdr:col>
          <xdr:colOff>335737</xdr:colOff>
          <xdr:row>6</xdr:row>
          <xdr:rowOff>89535</xdr:rowOff>
        </xdr:to>
        <xdr:pic>
          <xdr:nvPicPr>
            <xdr:cNvPr id="13" name="Imagem 12">
              <a:extLst>
                <a:ext uri="{FF2B5EF4-FFF2-40B4-BE49-F238E27FC236}">
                  <a16:creationId xmlns:a16="http://schemas.microsoft.com/office/drawing/2014/main" id="{459D62AF-46D5-9579-8DBB-FD92AC2FD68D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̳álculos!$A$1:$A$2" spid="_x0000_s5235"/>
                </a:ext>
              </a:extLst>
            </xdr:cNvPicPr>
          </xdr:nvPicPr>
          <xdr:blipFill>
            <a:blip xmlns:r="http://schemas.openxmlformats.org/officeDocument/2006/relationships" r:embed="rId3"/>
            <a:srcRect/>
            <a:stretch>
              <a:fillRect/>
            </a:stretch>
          </xdr:blipFill>
          <xdr:spPr bwMode="auto">
            <a:xfrm>
              <a:off x="200025" y="1047750"/>
              <a:ext cx="1754962" cy="5372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3</xdr:col>
      <xdr:colOff>95405</xdr:colOff>
      <xdr:row>2</xdr:row>
      <xdr:rowOff>133350</xdr:rowOff>
    </xdr:from>
    <xdr:to>
      <xdr:col>7</xdr:col>
      <xdr:colOff>19049</xdr:colOff>
      <xdr:row>7</xdr:row>
      <xdr:rowOff>19050</xdr:rowOff>
    </xdr:to>
    <xdr:sp macro="" textlink="">
      <xdr:nvSpPr>
        <xdr:cNvPr id="14" name="Retângulo: Cantos Arredondados 13">
          <a:extLst>
            <a:ext uri="{FF2B5EF4-FFF2-40B4-BE49-F238E27FC236}">
              <a16:creationId xmlns:a16="http://schemas.microsoft.com/office/drawing/2014/main" id="{BCFBCEE2-1B96-4519-8FD4-2D98EB6A6570}"/>
            </a:ext>
          </a:extLst>
        </xdr:cNvPr>
        <xdr:cNvSpPr/>
      </xdr:nvSpPr>
      <xdr:spPr>
        <a:xfrm>
          <a:off x="2324255" y="904875"/>
          <a:ext cx="2362044" cy="790575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7</xdr:col>
      <xdr:colOff>228600</xdr:colOff>
      <xdr:row>2</xdr:row>
      <xdr:rowOff>114300</xdr:rowOff>
    </xdr:from>
    <xdr:to>
      <xdr:col>11</xdr:col>
      <xdr:colOff>76200</xdr:colOff>
      <xdr:row>7</xdr:row>
      <xdr:rowOff>38100</xdr:rowOff>
    </xdr:to>
    <xdr:sp macro="" textlink="">
      <xdr:nvSpPr>
        <xdr:cNvPr id="15" name="Retângulo: Cantos Arredondados 14">
          <a:extLst>
            <a:ext uri="{FF2B5EF4-FFF2-40B4-BE49-F238E27FC236}">
              <a16:creationId xmlns:a16="http://schemas.microsoft.com/office/drawing/2014/main" id="{52AD1507-F065-498B-853C-D5E15B282648}"/>
            </a:ext>
          </a:extLst>
        </xdr:cNvPr>
        <xdr:cNvSpPr/>
      </xdr:nvSpPr>
      <xdr:spPr>
        <a:xfrm>
          <a:off x="4895850" y="885825"/>
          <a:ext cx="2286000" cy="828675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11</xdr:col>
      <xdr:colOff>323849</xdr:colOff>
      <xdr:row>2</xdr:row>
      <xdr:rowOff>142876</xdr:rowOff>
    </xdr:from>
    <xdr:to>
      <xdr:col>15</xdr:col>
      <xdr:colOff>476249</xdr:colOff>
      <xdr:row>7</xdr:row>
      <xdr:rowOff>28575</xdr:rowOff>
    </xdr:to>
    <xdr:sp macro="" textlink="">
      <xdr:nvSpPr>
        <xdr:cNvPr id="16" name="Retângulo: Cantos Arredondados 15">
          <a:extLst>
            <a:ext uri="{FF2B5EF4-FFF2-40B4-BE49-F238E27FC236}">
              <a16:creationId xmlns:a16="http://schemas.microsoft.com/office/drawing/2014/main" id="{227D76C0-4513-4064-AD2B-BB26994FF507}"/>
            </a:ext>
          </a:extLst>
        </xdr:cNvPr>
        <xdr:cNvSpPr/>
      </xdr:nvSpPr>
      <xdr:spPr>
        <a:xfrm>
          <a:off x="7429499" y="914401"/>
          <a:ext cx="2428875" cy="790574"/>
        </a:xfrm>
        <a:prstGeom prst="roundRect">
          <a:avLst/>
        </a:prstGeom>
        <a:solidFill>
          <a:srgbClr val="22C55E"/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85725</xdr:colOff>
          <xdr:row>3</xdr:row>
          <xdr:rowOff>85725</xdr:rowOff>
        </xdr:from>
        <xdr:to>
          <xdr:col>6</xdr:col>
          <xdr:colOff>581176</xdr:colOff>
          <xdr:row>6</xdr:row>
          <xdr:rowOff>80010</xdr:rowOff>
        </xdr:to>
        <xdr:pic>
          <xdr:nvPicPr>
            <xdr:cNvPr id="17" name="Imagem 16">
              <a:extLst>
                <a:ext uri="{FF2B5EF4-FFF2-40B4-BE49-F238E27FC236}">
                  <a16:creationId xmlns:a16="http://schemas.microsoft.com/office/drawing/2014/main" id="{2AE4BE40-A3C6-306B-F5F4-46CFBAE74126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̳álculos!$C$1:$C$2" spid="_x0000_s5236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2314575" y="1038225"/>
              <a:ext cx="2324251" cy="5372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114300</xdr:colOff>
          <xdr:row>3</xdr:row>
          <xdr:rowOff>47625</xdr:rowOff>
        </xdr:from>
        <xdr:to>
          <xdr:col>11</xdr:col>
          <xdr:colOff>199644</xdr:colOff>
          <xdr:row>6</xdr:row>
          <xdr:rowOff>149352</xdr:rowOff>
        </xdr:to>
        <xdr:pic>
          <xdr:nvPicPr>
            <xdr:cNvPr id="18" name="Imagem 17">
              <a:extLst>
                <a:ext uri="{FF2B5EF4-FFF2-40B4-BE49-F238E27FC236}">
                  <a16:creationId xmlns:a16="http://schemas.microsoft.com/office/drawing/2014/main" id="{AB9AEC20-7A1C-E3AF-65BD-965D9FE88B84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̳álculos!$E$1:$E$2" spid="_x0000_s5237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4781550" y="1000125"/>
              <a:ext cx="2523744" cy="644652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11</xdr:col>
          <xdr:colOff>438150</xdr:colOff>
          <xdr:row>3</xdr:row>
          <xdr:rowOff>66675</xdr:rowOff>
        </xdr:from>
        <xdr:to>
          <xdr:col>15</xdr:col>
          <xdr:colOff>257794</xdr:colOff>
          <xdr:row>6</xdr:row>
          <xdr:rowOff>60960</xdr:rowOff>
        </xdr:to>
        <xdr:pic>
          <xdr:nvPicPr>
            <xdr:cNvPr id="19" name="Imagem 18">
              <a:extLst>
                <a:ext uri="{FF2B5EF4-FFF2-40B4-BE49-F238E27FC236}">
                  <a16:creationId xmlns:a16="http://schemas.microsoft.com/office/drawing/2014/main" id="{98D28D7B-D221-C029-EF04-61755693DC1A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C̳álculos!$G$1:$G$2" spid="_x0000_s5238"/>
                </a:ext>
              </a:extLst>
            </xdr:cNvPicPr>
          </xdr:nvPicPr>
          <xdr:blipFill>
            <a:blip xmlns:r="http://schemas.openxmlformats.org/officeDocument/2006/relationships" r:embed="rId6"/>
            <a:srcRect/>
            <a:stretch>
              <a:fillRect/>
            </a:stretch>
          </xdr:blipFill>
          <xdr:spPr bwMode="auto">
            <a:xfrm>
              <a:off x="7543800" y="1019175"/>
              <a:ext cx="2096119" cy="537210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  <xdr:twoCellAnchor>
    <xdr:from>
      <xdr:col>0</xdr:col>
      <xdr:colOff>161925</xdr:colOff>
      <xdr:row>8</xdr:row>
      <xdr:rowOff>61913</xdr:rowOff>
    </xdr:from>
    <xdr:to>
      <xdr:col>15</xdr:col>
      <xdr:colOff>381000</xdr:colOff>
      <xdr:row>23</xdr:row>
      <xdr:rowOff>90488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F6253971-54D8-87C3-FD65-05484DA12B2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219074</xdr:colOff>
      <xdr:row>24</xdr:row>
      <xdr:rowOff>61913</xdr:rowOff>
    </xdr:from>
    <xdr:to>
      <xdr:col>15</xdr:col>
      <xdr:colOff>428624</xdr:colOff>
      <xdr:row>39</xdr:row>
      <xdr:rowOff>90488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83DE95F8-584B-4671-D0B8-0DBE4B08FFC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180975</xdr:colOff>
      <xdr:row>24</xdr:row>
      <xdr:rowOff>71438</xdr:rowOff>
    </xdr:from>
    <xdr:to>
      <xdr:col>7</xdr:col>
      <xdr:colOff>85725</xdr:colOff>
      <xdr:row>39</xdr:row>
      <xdr:rowOff>100013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7CEDEB44-D17D-F1DA-247F-F3F111E972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 editAs="oneCell">
    <xdr:from>
      <xdr:col>0</xdr:col>
      <xdr:colOff>209550</xdr:colOff>
      <xdr:row>40</xdr:row>
      <xdr:rowOff>152400</xdr:rowOff>
    </xdr:from>
    <xdr:to>
      <xdr:col>2</xdr:col>
      <xdr:colOff>213360</xdr:colOff>
      <xdr:row>47</xdr:row>
      <xdr:rowOff>158114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3" name="Plan 1">
              <a:extLst>
                <a:ext uri="{FF2B5EF4-FFF2-40B4-BE49-F238E27FC236}">
                  <a16:creationId xmlns:a16="http://schemas.microsoft.com/office/drawing/2014/main" id="{0767E212-AF2E-4B85-BA8B-3CBB71CC91B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lan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9550" y="7727576"/>
              <a:ext cx="1617457" cy="1260773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2</xdr:col>
      <xdr:colOff>276226</xdr:colOff>
      <xdr:row>40</xdr:row>
      <xdr:rowOff>161925</xdr:rowOff>
    </xdr:from>
    <xdr:to>
      <xdr:col>5</xdr:col>
      <xdr:colOff>171450</xdr:colOff>
      <xdr:row>47</xdr:row>
      <xdr:rowOff>152400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4" name="Auto Renewal 1">
              <a:extLst>
                <a:ext uri="{FF2B5EF4-FFF2-40B4-BE49-F238E27FC236}">
                  <a16:creationId xmlns:a16="http://schemas.microsoft.com/office/drawing/2014/main" id="{F057096A-367D-4154-9B71-21105C8A5EF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uto Renewal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889873" y="7737101"/>
              <a:ext cx="1724024" cy="124553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oneCell">
    <xdr:from>
      <xdr:col>5</xdr:col>
      <xdr:colOff>247650</xdr:colOff>
      <xdr:row>40</xdr:row>
      <xdr:rowOff>161925</xdr:rowOff>
    </xdr:from>
    <xdr:to>
      <xdr:col>8</xdr:col>
      <xdr:colOff>247650</xdr:colOff>
      <xdr:row>47</xdr:row>
      <xdr:rowOff>133350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5" name="Subscription Type 1">
              <a:extLst>
                <a:ext uri="{FF2B5EF4-FFF2-40B4-BE49-F238E27FC236}">
                  <a16:creationId xmlns:a16="http://schemas.microsoft.com/office/drawing/2014/main" id="{74D6BD93-41BA-418A-AE5F-6B249BA968E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 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690097" y="7737101"/>
              <a:ext cx="1828800" cy="122648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drigo Rocha" refreshedDate="46091.818959606484" createdVersion="8" refreshedVersion="8" minRefreshableVersion="3" recordCount="295" xr:uid="{E052339B-FEA3-4F48-ACE0-967A808E7180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90050329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8FC1DD3-E52D-48F4-8043-2E667DB2F11C}" name="Tabela dinâmica3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14:B18" firstHeaderRow="1" firstDataRow="1" firstDataCol="1"/>
  <pivotFields count="13">
    <pivotField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6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39457E-BDC4-4E26-98B1-11FFE3AD5E03}" name="Tabela dinâmica2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21">
  <location ref="A9:B12" firstHeaderRow="1" firstDataRow="1" firstDataCol="1"/>
  <pivotFields count="13">
    <pivotField dataField="1" showAll="0"/>
    <pivotField showAll="0"/>
    <pivotField showAll="0">
      <items count="4">
        <item x="1"/>
        <item x="2"/>
        <item x="0"/>
        <item t="default"/>
      </items>
    </pivotField>
    <pivotField numFmtId="14" showAll="0"/>
    <pivotField axis="axisRow" showAll="0">
      <items count="3">
        <item x="1"/>
        <item x="0"/>
        <item t="default"/>
      </items>
    </pivotField>
    <pivotField numFmtId="44" showAll="0"/>
    <pivotField showAll="0"/>
    <pivotField showAll="0"/>
    <pivotField showAll="0"/>
    <pivotField showAll="0"/>
    <pivotField numFmtId="44" showAll="0"/>
    <pivotField numFmtId="44" showAll="0"/>
    <pivotField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Contagem de Subscriber ID" fld="0" subtotal="count" baseField="4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F1558-3381-4FD3-B588-B77B64262B83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showHeaders="0" outline="1" outlineData="1" multipleFieldFilters="0" chartFormat="30">
  <location ref="A3:B7" firstHeaderRow="1" firstDataRow="1" firstDataCol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 Value" fld="12" baseField="0" baseItem="0" numFmtId="44"/>
  </dataFields>
  <chartFormats count="9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lan" xr10:uid="{C2DB4D98-C31B-4DC1-8DF5-200E8334DE30}" sourceName="Plan">
  <pivotTables>
    <pivotTable tabId="5" name="Tabela dinâmica1"/>
  </pivotTables>
  <data>
    <tabular pivotCacheId="1900503291">
      <items count="3">
        <i x="1" s="1"/>
        <i x="2" s="1"/>
        <i x="0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Auto_Renewal" xr10:uid="{9D99F64F-A9A4-41EC-8D0B-211C096570D0}" sourceName="Auto Renewal">
  <pivotTables>
    <pivotTable tabId="5" name="Tabela dinâmica1"/>
  </pivotTables>
  <data>
    <tabular pivotCacheId="1900503291">
      <items count="2">
        <i x="1" s="1"/>
        <i x="0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0307840-CF7A-4153-B16F-B94DE28F5D52}" sourceName="Subscription Type">
  <pivotTables>
    <pivotTable tabId="5" name="Tabela dinâmica1"/>
  </pivotTables>
  <data>
    <tabular pivotCacheId="1900503291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" xr10:uid="{2537120F-7471-4E2D-90D2-1FFBF7B88649}" cache="SegmentaçãodeDados_Plan" caption="Plan" rowHeight="247650"/>
  <slicer name="Auto Renewal" xr10:uid="{BB9F6128-2ED8-4714-99F4-B894A006D7C0}" cache="SegmentaçãodeDados_Auto_Renewal" caption="Auto Renewal" rowHeight="247650"/>
  <slicer name="Subscription Type" xr10:uid="{980D1912-0FA5-4341-AC33-F4D82144E02D}" cache="SegmentaçãodeDados_Subscription_Type" caption="Subscription Type" rowHeight="247650"/>
</slicers>
</file>

<file path=xl/slicers/slicer2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Plan 1" xr10:uid="{2D8B96EF-6260-4A0B-8BA0-18E495FF5233}" cache="SegmentaçãodeDados_Plan" caption="Plan" rowHeight="247650"/>
  <slicer name="Auto Renewal 1" xr10:uid="{03FCCBB6-6522-4E79-8D91-EB741E683018}" cache="SegmentaçãodeDados_Auto_Renewal" caption="Auto Renewal" rowHeight="247650"/>
  <slicer name="Subscription Type 1" xr10:uid="{87FE43A0-F1C6-4E21-8A34-29950B88A572}" cache="SegmentaçãodeDados_Subscription_Type" caption="Subscription Type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2.bin"/><Relationship Id="rId4" Type="http://schemas.microsoft.com/office/2007/relationships/slicer" Target="../slicers/slicer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7" sqref="B7"/>
    </sheetView>
  </sheetViews>
  <sheetFormatPr defaultRowHeight="14.4"/>
  <cols>
    <col min="9" max="9" width="3.5546875" customWidth="1"/>
  </cols>
  <sheetData>
    <row r="3" spans="2:16" ht="20.399999999999999" thickBot="1">
      <c r="B3" s="1" t="s">
        <v>0</v>
      </c>
      <c r="C3" s="1"/>
      <c r="D3" s="1"/>
      <c r="E3" s="1"/>
      <c r="F3" s="1"/>
      <c r="G3" s="1"/>
      <c r="H3" s="1"/>
    </row>
    <row r="4" spans="2:16" ht="15" thickTop="1"/>
    <row r="5" spans="2:16">
      <c r="B5" s="3" t="s">
        <v>2</v>
      </c>
      <c r="C5" t="s">
        <v>8</v>
      </c>
      <c r="E5" s="7" t="s">
        <v>6</v>
      </c>
      <c r="F5" t="s">
        <v>7</v>
      </c>
    </row>
    <row r="6" spans="2:16">
      <c r="B6" s="4" t="s">
        <v>3</v>
      </c>
      <c r="C6" t="s">
        <v>8</v>
      </c>
    </row>
    <row r="7" spans="2:16">
      <c r="B7" s="5" t="s">
        <v>4</v>
      </c>
      <c r="C7" t="s">
        <v>9</v>
      </c>
    </row>
    <row r="8" spans="2:16">
      <c r="B8" s="6" t="s">
        <v>5</v>
      </c>
      <c r="C8" t="s">
        <v>9</v>
      </c>
    </row>
    <row r="12" spans="2:16" ht="20.399999999999999" thickBot="1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>
      <c r="B13" s="2"/>
      <c r="C13" s="2"/>
      <c r="D13" s="2"/>
      <c r="E13" s="2"/>
      <c r="F13" s="2"/>
      <c r="G13" s="2"/>
      <c r="H13" s="2"/>
    </row>
    <row r="14" spans="2:16">
      <c r="B14" s="2"/>
      <c r="C14" s="2"/>
      <c r="D14" s="2"/>
      <c r="E14" s="2"/>
      <c r="F14" s="2"/>
      <c r="G14" s="2"/>
      <c r="H14" s="2"/>
    </row>
    <row r="15" spans="2:16">
      <c r="B15" s="2"/>
      <c r="C15" s="2"/>
      <c r="D15" s="2"/>
      <c r="E15" s="2"/>
      <c r="F15" s="2"/>
      <c r="G15" s="2"/>
      <c r="H15" s="2"/>
    </row>
    <row r="16" spans="2:16">
      <c r="B16" s="2"/>
      <c r="C16" s="2"/>
      <c r="D16" s="2"/>
      <c r="E16" s="2"/>
      <c r="F16" s="2"/>
      <c r="G16" s="2"/>
      <c r="H16" s="2"/>
    </row>
    <row r="17" spans="2:8">
      <c r="B17" s="2"/>
      <c r="C17" s="2"/>
      <c r="D17" s="2"/>
      <c r="E17" s="2"/>
      <c r="F17" s="2"/>
      <c r="G17" s="2"/>
      <c r="H17" s="2"/>
    </row>
    <row r="18" spans="2:8">
      <c r="B18" s="2"/>
      <c r="C18" s="2"/>
      <c r="D18" s="2"/>
      <c r="E18" s="2"/>
      <c r="F18" s="2"/>
      <c r="G18" s="2"/>
      <c r="H18" s="2"/>
    </row>
    <row r="19" spans="2:8">
      <c r="B19" s="2"/>
      <c r="C19" s="2"/>
      <c r="D19" s="2"/>
      <c r="E19" s="2"/>
      <c r="F19" s="2"/>
      <c r="G19" s="2"/>
      <c r="H19" s="2"/>
    </row>
    <row r="20" spans="2:8">
      <c r="B20" s="2"/>
      <c r="C20" s="2"/>
      <c r="D20" s="2"/>
      <c r="E20" s="2"/>
      <c r="F20" s="2"/>
      <c r="G20" s="2"/>
      <c r="H20" s="2"/>
    </row>
    <row r="21" spans="2:8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2BD2E-854F-420D-AD1C-536C4C3F8A1C}">
  <sheetPr>
    <tabColor theme="3" tint="0.749992370372631"/>
  </sheetPr>
  <dimension ref="A3:B18"/>
  <sheetViews>
    <sheetView workbookViewId="0">
      <selection activeCell="A3" sqref="A3:B7"/>
    </sheetView>
  </sheetViews>
  <sheetFormatPr defaultRowHeight="14.4"/>
  <cols>
    <col min="1" max="1" width="10" bestFit="1" customWidth="1"/>
    <col min="2" max="2" width="23.77734375" bestFit="1" customWidth="1"/>
  </cols>
  <sheetData>
    <row r="3" spans="1:2">
      <c r="B3" t="s">
        <v>319</v>
      </c>
    </row>
    <row r="4" spans="1:2">
      <c r="A4" s="15" t="s">
        <v>22</v>
      </c>
      <c r="B4" s="16">
        <v>444</v>
      </c>
    </row>
    <row r="5" spans="1:2">
      <c r="A5" s="15" t="s">
        <v>26</v>
      </c>
      <c r="B5" s="16">
        <v>1801</v>
      </c>
    </row>
    <row r="6" spans="1:2">
      <c r="A6" s="15" t="s">
        <v>18</v>
      </c>
      <c r="B6" s="16">
        <v>5388</v>
      </c>
    </row>
    <row r="7" spans="1:2">
      <c r="A7" s="15" t="s">
        <v>318</v>
      </c>
      <c r="B7" s="16">
        <v>7633</v>
      </c>
    </row>
    <row r="9" spans="1:2">
      <c r="A9" s="14" t="s">
        <v>317</v>
      </c>
      <c r="B9" t="s">
        <v>320</v>
      </c>
    </row>
    <row r="10" spans="1:2">
      <c r="A10" s="15" t="s">
        <v>23</v>
      </c>
      <c r="B10" s="17">
        <v>147</v>
      </c>
    </row>
    <row r="11" spans="1:2">
      <c r="A11" s="15" t="s">
        <v>19</v>
      </c>
      <c r="B11" s="17">
        <v>148</v>
      </c>
    </row>
    <row r="12" spans="1:2">
      <c r="A12" s="15" t="s">
        <v>318</v>
      </c>
      <c r="B12" s="17">
        <v>295</v>
      </c>
    </row>
    <row r="14" spans="1:2">
      <c r="A14" s="14" t="s">
        <v>317</v>
      </c>
      <c r="B14" t="s">
        <v>319</v>
      </c>
    </row>
    <row r="15" spans="1:2">
      <c r="A15" s="15" t="s">
        <v>24</v>
      </c>
      <c r="B15" s="16">
        <v>1754</v>
      </c>
    </row>
    <row r="16" spans="1:2">
      <c r="A16" s="15" t="s">
        <v>20</v>
      </c>
      <c r="B16" s="16">
        <v>3571</v>
      </c>
    </row>
    <row r="17" spans="1:2">
      <c r="A17" s="15" t="s">
        <v>27</v>
      </c>
      <c r="B17" s="16">
        <v>2308</v>
      </c>
    </row>
    <row r="18" spans="1:2">
      <c r="A18" s="15" t="s">
        <v>318</v>
      </c>
      <c r="B18" s="16">
        <v>7633</v>
      </c>
    </row>
  </sheetData>
  <pageMargins left="0.511811024" right="0.511811024" top="0.78740157499999996" bottom="0.78740157499999996" header="0.31496062000000002" footer="0.31496062000000002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A2" zoomScale="90" zoomScaleNormal="90" workbookViewId="0">
      <selection activeCell="M1" sqref="A1:M296"/>
    </sheetView>
  </sheetViews>
  <sheetFormatPr defaultRowHeight="14.4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5.6640625" bestFit="1" customWidth="1"/>
  </cols>
  <sheetData>
    <row r="1" spans="1:13" ht="28.8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A1:H4"/>
  <sheetViews>
    <sheetView showGridLines="0" workbookViewId="0">
      <selection activeCell="G1" sqref="G1:G2"/>
    </sheetView>
  </sheetViews>
  <sheetFormatPr defaultRowHeight="14.4"/>
  <cols>
    <col min="1" max="1" width="22.33203125" style="12" customWidth="1"/>
    <col min="2" max="2" width="10.88671875" style="12" bestFit="1" customWidth="1"/>
    <col min="3" max="3" width="27.21875" style="12" bestFit="1" customWidth="1"/>
    <col min="4" max="4" width="18.44140625" style="12" customWidth="1"/>
    <col min="5" max="5" width="30.5546875" style="12" bestFit="1" customWidth="1"/>
    <col min="6" max="6" width="7" style="12" bestFit="1" customWidth="1"/>
    <col min="7" max="7" width="23.88671875" style="12" bestFit="1" customWidth="1"/>
    <col min="8" max="8" width="27.6640625" style="12" bestFit="1" customWidth="1"/>
    <col min="9" max="9" width="5.44140625" style="12" customWidth="1"/>
    <col min="10" max="10" width="21.109375" style="12" bestFit="1" customWidth="1"/>
    <col min="11" max="12" width="35.109375" style="12" bestFit="1" customWidth="1"/>
    <col min="13" max="16" width="9.6640625" style="12" bestFit="1" customWidth="1"/>
    <col min="17" max="17" width="15.5546875" style="12" bestFit="1" customWidth="1"/>
    <col min="18" max="18" width="12.109375" style="12" bestFit="1" customWidth="1"/>
    <col min="19" max="16384" width="8.88671875" style="12"/>
  </cols>
  <sheetData>
    <row r="1" spans="1:8" ht="21">
      <c r="A1" s="23" t="s">
        <v>313</v>
      </c>
      <c r="B1" s="24"/>
      <c r="C1" s="23" t="s">
        <v>314</v>
      </c>
      <c r="D1" s="25"/>
      <c r="E1" s="23" t="s">
        <v>315</v>
      </c>
      <c r="F1" s="26"/>
      <c r="G1" s="23" t="s">
        <v>316</v>
      </c>
      <c r="H1" s="18"/>
    </row>
    <row r="2" spans="1:8" ht="21">
      <c r="A2" s="27">
        <f>SUM(tb_sales!L:L)</f>
        <v>2122</v>
      </c>
      <c r="B2" s="25"/>
      <c r="C2" s="28">
        <f>COUNTA(tb_sales!B:B)</f>
        <v>296</v>
      </c>
      <c r="D2" s="25"/>
      <c r="E2" s="28">
        <f>SUM(tb_sales!L:L)</f>
        <v>2122</v>
      </c>
      <c r="F2" s="25"/>
      <c r="G2" s="29">
        <f>AVERAGE(tb_sales!M:M)</f>
        <v>25.874576271186442</v>
      </c>
      <c r="H2" s="19"/>
    </row>
    <row r="3" spans="1:8" ht="21">
      <c r="A3" s="20"/>
      <c r="B3" s="21"/>
      <c r="C3" s="22"/>
      <c r="D3" s="22"/>
      <c r="E3" s="22"/>
      <c r="F3" s="22"/>
      <c r="G3" s="22"/>
    </row>
    <row r="4" spans="1:8">
      <c r="B4" s="1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>
    <pageSetUpPr fitToPage="1"/>
  </sheetPr>
  <dimension ref="A1:P50"/>
  <sheetViews>
    <sheetView showGridLines="0" tabSelected="1" topLeftCell="A10" zoomScale="85" zoomScaleNormal="85" workbookViewId="0">
      <selection activeCell="R40" sqref="R40"/>
    </sheetView>
  </sheetViews>
  <sheetFormatPr defaultRowHeight="14.4"/>
  <cols>
    <col min="1" max="1" width="20" customWidth="1"/>
    <col min="2" max="2" width="3.5546875" customWidth="1"/>
    <col min="12" max="12" width="6.5546875" customWidth="1"/>
  </cols>
  <sheetData>
    <row r="1" spans="1:16">
      <c r="A1" s="30" t="s">
        <v>321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</row>
    <row r="2" spans="1:16" ht="46.2" customHeight="1">
      <c r="A2" s="30"/>
      <c r="B2" s="30"/>
      <c r="C2" s="30"/>
      <c r="D2" s="30"/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</row>
    <row r="3" spans="1:16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16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</row>
    <row r="5" spans="1:16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16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</row>
    <row r="9" spans="1:16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</row>
    <row r="10" spans="1:16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</row>
    <row r="11" spans="1:16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16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16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16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1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spans="1:1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1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</row>
    <row r="30" spans="1:1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1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</row>
    <row r="32" spans="1:1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</row>
    <row r="33" spans="1:1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</row>
    <row r="34" spans="1:1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</row>
    <row r="35" spans="1:1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  <row r="42" spans="1:1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</row>
    <row r="43" spans="1:1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</row>
    <row r="44" spans="1:1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</row>
    <row r="45" spans="1:1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</row>
    <row r="46" spans="1:1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</row>
    <row r="47" spans="1:1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</row>
    <row r="48" spans="1:1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</row>
    <row r="49" spans="1:1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</row>
    <row r="50" spans="1:1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</row>
  </sheetData>
  <mergeCells count="1">
    <mergeCell ref="A1:P2"/>
  </mergeCells>
  <pageMargins left="0.511811024" right="0.511811024" top="0.78740157499999996" bottom="0.78740157499999996" header="0.31496062000000002" footer="0.31496062000000002"/>
  <pageSetup paperSize="9" scale="59" orientation="portrait" r:id="rId1"/>
  <drawing r:id="rId2"/>
  <legacyDrawing r:id="rId3"/>
  <extLst>
    <ext xmlns:x14="http://schemas.microsoft.com/office/spreadsheetml/2009/9/main" uri="{A8765BA9-456A-4dab-B4F3-ACF838C121DE}">
      <x14:slicerList>
        <x14:slicer r:id="rId4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A̳ssets</vt:lpstr>
      <vt:lpstr>DB</vt:lpstr>
      <vt:lpstr>tb_sales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Rodrigo Rocha</cp:lastModifiedBy>
  <cp:lastPrinted>2026-03-10T23:09:17Z</cp:lastPrinted>
  <dcterms:created xsi:type="dcterms:W3CDTF">2024-12-19T13:13:10Z</dcterms:created>
  <dcterms:modified xsi:type="dcterms:W3CDTF">2026-03-10T23:14:31Z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